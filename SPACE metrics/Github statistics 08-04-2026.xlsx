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rvin\Documents\School\DevOps\"/>
    </mc:Choice>
  </mc:AlternateContent>
  <xr:revisionPtr revIDLastSave="0" documentId="8_{0816F8F3-28C2-4DC6-8B15-1E1522F1CEDB}" xr6:coauthVersionLast="47" xr6:coauthVersionMax="47" xr10:uidLastSave="{00000000-0000-0000-0000-000000000000}"/>
  <bookViews>
    <workbookView xWindow="-108" yWindow="-108" windowWidth="23256" windowHeight="12456" xr2:uid="{E0DA0FD6-EB87-4395-A551-4C85A4FA3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E45" i="1"/>
  <c r="F45" i="1"/>
  <c r="C45" i="1"/>
  <c r="D44" i="1"/>
  <c r="E44" i="1"/>
  <c r="F44" i="1"/>
  <c r="C44" i="1"/>
  <c r="C43" i="1"/>
  <c r="D43" i="1"/>
  <c r="E43" i="1"/>
  <c r="F43" i="1"/>
  <c r="B45" i="1"/>
  <c r="B44" i="1"/>
  <c r="B43" i="1"/>
  <c r="D29" i="1"/>
  <c r="D34" i="1"/>
  <c r="B39" i="1"/>
  <c r="C34" i="1"/>
  <c r="C26" i="1"/>
  <c r="D26" i="1" s="1"/>
  <c r="C27" i="1"/>
  <c r="D27" i="1" s="1"/>
  <c r="C28" i="1"/>
  <c r="D28" i="1" s="1"/>
  <c r="C29" i="1"/>
  <c r="C30" i="1"/>
  <c r="D30" i="1" s="1"/>
  <c r="C31" i="1"/>
  <c r="D31" i="1" s="1"/>
  <c r="C32" i="1"/>
  <c r="D32" i="1" s="1"/>
  <c r="B34" i="1"/>
  <c r="B26" i="1"/>
  <c r="B27" i="1"/>
  <c r="B28" i="1"/>
  <c r="B29" i="1"/>
  <c r="B30" i="1"/>
  <c r="B31" i="1"/>
  <c r="B32" i="1"/>
  <c r="A25" i="1" a="1"/>
  <c r="A25" i="1" s="1"/>
  <c r="M15" i="1"/>
  <c r="M14" i="1"/>
  <c r="M13" i="1"/>
  <c r="M12" i="1"/>
  <c r="L15" i="1"/>
  <c r="L14" i="1"/>
  <c r="L13" i="1"/>
  <c r="L12" i="1"/>
  <c r="N15" i="1"/>
  <c r="N14" i="1"/>
  <c r="N13" i="1"/>
  <c r="N12" i="1"/>
  <c r="K15" i="1"/>
  <c r="K14" i="1"/>
  <c r="K13" i="1"/>
  <c r="K1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B25" i="1" l="1"/>
  <c r="C25" i="1"/>
  <c r="A39" i="1" l="1"/>
  <c r="D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<sst xmlns="http://schemas.openxmlformats.org/spreadsheetml/2006/main" count="50" uniqueCount="26">
  <si>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No</t>
  </si>
  <si>
    <t>Owner</t>
  </si>
  <si>
    <t>Lines added</t>
  </si>
  <si>
    <t>Lines removed</t>
  </si>
  <si>
    <t>Total</t>
  </si>
  <si>
    <t>ervinhun</t>
  </si>
  <si>
    <t>OleksandrDarchyk</t>
  </si>
  <si>
    <t>AliEmredk</t>
  </si>
  <si>
    <t>alexapostol89</t>
  </si>
  <si>
    <t>Total number of PR</t>
  </si>
  <si>
    <t>Total lines added</t>
  </si>
  <si>
    <t>Total lines removed</t>
  </si>
  <si>
    <t>Total Lines</t>
  </si>
  <si>
    <t>PR size per day</t>
  </si>
  <si>
    <t>Date</t>
  </si>
  <si>
    <t>Merge per day</t>
  </si>
  <si>
    <t>Not merged yet</t>
  </si>
  <si>
    <t>Already merged</t>
  </si>
  <si>
    <t>Not merged yet (PR only)</t>
  </si>
  <si>
    <t>Name</t>
  </si>
  <si>
    <t>Avarage PR size per day</t>
  </si>
  <si>
    <t>PR size</t>
  </si>
  <si>
    <t>size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</si>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</sst>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]dd/mm/yyyy;@" x16r2:formatCode16="[$-en-DK,1]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Merge per 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Sheet1!$A$25:$A$34</c15:sqref>
                  </c15:fullRef>
                </c:ext>
              </c:extLst>
              <c:f>Sheet1!$A$25:$A$32</c:f>
              <c:strCache>
                <c:ptCount val="8"/>
                <c:pt idx="0">
                  <c:v>12/02/2026</c:v>
                </c:pt>
                <c:pt idx="1">
                  <c:v>16/02/2026</c:v>
                </c:pt>
                <c:pt idx="2">
                  <c:v>22/02/2026</c:v>
                </c:pt>
                <c:pt idx="3">
                  <c:v>08/03/2026</c:v>
                </c:pt>
                <c:pt idx="4">
                  <c:v>03/03/2026</c:v>
                </c:pt>
                <c:pt idx="5">
                  <c:v>13/03/2026</c:v>
                </c:pt>
                <c:pt idx="6">
                  <c:v>24/03/2026</c:v>
                </c:pt>
                <c:pt idx="7">
                  <c:v>05/04/2026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Sheet1!$B$25:$B$34</c15:sqref>
                  </c15:fullRef>
                </c:ext>
              </c:extLst>
              <c:f>Sheet1!$B$25:$B$32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7-4A31-BC0C-050E7ACDA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1800272"/>
        <c:axId val="941801232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Sheet1!$C$24</c15:sqref>
                        </c15:formulaRef>
                      </c:ext>
                    </c:extLst>
                    <c:strCache>
                      <c:ptCount val="1"/>
                      <c:pt idx="0">
                        <c:v>PR size per day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Sheet1!$A$25:$A$34</c15:sqref>
                        </c15:fullRef>
                        <c15:formulaRef>
                          <c15:sqref>Sheet1!$A$25:$A$32</c15:sqref>
                        </c15:formulaRef>
                      </c:ext>
                    </c:extLst>
                    <c:strCache>
                      <c:ptCount val="8"/>
                      <c:pt idx="0">
                        <c:v>12/02/2026</c:v>
                      </c:pt>
                      <c:pt idx="1">
                        <c:v>16/02/2026</c:v>
                      </c:pt>
                      <c:pt idx="2">
                        <c:v>22/02/2026</c:v>
                      </c:pt>
                      <c:pt idx="3">
                        <c:v>08/03/2026</c:v>
                      </c:pt>
                      <c:pt idx="4">
                        <c:v>03/03/2026</c:v>
                      </c:pt>
                      <c:pt idx="5">
                        <c:v>13/03/2026</c:v>
                      </c:pt>
                      <c:pt idx="6">
                        <c:v>24/03/2026</c:v>
                      </c:pt>
                      <c:pt idx="7">
                        <c:v>05/04/2026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Sheet1!$C$25:$C$34</c15:sqref>
                        </c15:fullRef>
                        <c15:formulaRef>
                          <c15:sqref>Sheet1!$C$25:$C$32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115</c:v>
                      </c:pt>
                      <c:pt idx="1">
                        <c:v>31</c:v>
                      </c:pt>
                      <c:pt idx="2">
                        <c:v>1047</c:v>
                      </c:pt>
                      <c:pt idx="3">
                        <c:v>128</c:v>
                      </c:pt>
                      <c:pt idx="4">
                        <c:v>171</c:v>
                      </c:pt>
                      <c:pt idx="5">
                        <c:v>464</c:v>
                      </c:pt>
                      <c:pt idx="6">
                        <c:v>1368</c:v>
                      </c:pt>
                      <c:pt idx="7">
                        <c:v>112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8C7-4A31-BC0C-050E7ACDA665}"/>
                  </c:ext>
                </c:extLst>
              </c15:ser>
            </c15:filteredBarSeries>
          </c:ext>
        </c:extLst>
      </c:bar3DChart>
      <c:dateAx>
        <c:axId val="941800272"/>
        <c:scaling>
          <c:orientation val="minMax"/>
        </c:scaling>
        <c:delete val="0"/>
        <c:axPos val="b"/>
        <c:numFmt formatCode="[$]dd/mm/yyyy;@" c16r2:formatcode2="[$-en-DK,1]dd/mm/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41801232"/>
        <c:crosses val="autoZero"/>
        <c:auto val="1"/>
        <c:lblOffset val="100"/>
        <c:baseTimeUnit val="days"/>
      </c:dateAx>
      <c:valAx>
        <c:axId val="94180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4180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Merged vs Open PR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Sheet1!$A$38:$B$38</c:f>
              <c:strCache>
                <c:ptCount val="2"/>
                <c:pt idx="0">
                  <c:v>Already merged</c:v>
                </c:pt>
                <c:pt idx="1">
                  <c:v>Not merged yet (PR only)</c:v>
                </c:pt>
              </c:strCache>
            </c:strRef>
          </c:cat>
          <c:val>
            <c:numRef>
              <c:f>Sheet1!$A$39:$B$39</c:f>
              <c:numCache>
                <c:formatCode>General</c:formatCode>
                <c:ptCount val="2"/>
                <c:pt idx="0">
                  <c:v>3436</c:v>
                </c:pt>
                <c:pt idx="1">
                  <c:v>6756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C-408B-8A43-60BBA3469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0714288"/>
        <c:axId val="1630715728"/>
        <c:axId val="0"/>
      </c:bar3DChart>
      <c:catAx>
        <c:axId val="163071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30715728"/>
        <c:crosses val="autoZero"/>
        <c:auto val="1"/>
        <c:lblAlgn val="ctr"/>
        <c:lblOffset val="100"/>
        <c:noMultiLvlLbl val="0"/>
      </c:catAx>
      <c:valAx>
        <c:axId val="16307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3071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number of PR per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Sheet1!$K$11</c:f>
              <c:strCache>
                <c:ptCount val="1"/>
                <c:pt idx="0">
                  <c:v>Total number of PR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Sheet1!$J$12:$J$15</c:f>
              <c:strCache>
                <c:ptCount val="4"/>
                <c:pt idx="0">
                  <c:v>ervinhun</c:v>
                </c:pt>
                <c:pt idx="1">
                  <c:v>OleksandrDarchyk</c:v>
                </c:pt>
                <c:pt idx="2">
                  <c:v>AliEmredk</c:v>
                </c:pt>
                <c:pt idx="3">
                  <c:v>alexapostol89</c:v>
                </c:pt>
              </c:strCache>
            </c:strRef>
          </c:cat>
          <c:val>
            <c:numRef>
              <c:f>Sheet1!$K$12:$K$15</c:f>
              <c:numCache>
                <c:formatCode>General</c:formatCode>
                <c:ptCount val="4"/>
                <c:pt idx="0">
                  <c:v>9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4-4F61-A64F-0E71055DCC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30404320"/>
        <c:axId val="830405280"/>
        <c:axId val="0"/>
      </c:bar3DChart>
      <c:catAx>
        <c:axId val="8304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30405280"/>
        <c:crosses val="autoZero"/>
        <c:auto val="1"/>
        <c:lblAlgn val="ctr"/>
        <c:lblOffset val="100"/>
        <c:noMultiLvlLbl val="0"/>
      </c:catAx>
      <c:valAx>
        <c:axId val="8304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304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2"/>
          <c:order val="2"/>
          <c:tx>
            <c:strRef>
              <c:f>Sheet1!$D$24</c:f>
              <c:strCache>
                <c:ptCount val="1"/>
                <c:pt idx="0">
                  <c:v>Avarage PR size per day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Sheet1!$A$25:$A$34</c15:sqref>
                  </c15:fullRef>
                </c:ext>
              </c:extLst>
              <c:f>(Sheet1!$A$25:$A$32,Sheet1!$A$34)</c:f>
              <c:strCache>
                <c:ptCount val="9"/>
                <c:pt idx="0">
                  <c:v>12/02/2026</c:v>
                </c:pt>
                <c:pt idx="1">
                  <c:v>16/02/2026</c:v>
                </c:pt>
                <c:pt idx="2">
                  <c:v>22/02/2026</c:v>
                </c:pt>
                <c:pt idx="3">
                  <c:v>08/03/2026</c:v>
                </c:pt>
                <c:pt idx="4">
                  <c:v>03/03/2026</c:v>
                </c:pt>
                <c:pt idx="5">
                  <c:v>13/03/2026</c:v>
                </c:pt>
                <c:pt idx="6">
                  <c:v>24/03/2026</c:v>
                </c:pt>
                <c:pt idx="7">
                  <c:v>05/04/2026</c:v>
                </c:pt>
                <c:pt idx="8">
                  <c:v>Not merged yet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Sheet1!$D$25:$D$34</c15:sqref>
                  </c15:fullRef>
                </c:ext>
              </c:extLst>
              <c:f>(Sheet1!$D$25:$D$32,Sheet1!$D$34)</c:f>
              <c:numCache>
                <c:formatCode>General</c:formatCode>
                <c:ptCount val="9"/>
                <c:pt idx="0">
                  <c:v>115</c:v>
                </c:pt>
                <c:pt idx="1">
                  <c:v>31</c:v>
                </c:pt>
                <c:pt idx="2">
                  <c:v>523.5</c:v>
                </c:pt>
                <c:pt idx="3">
                  <c:v>64</c:v>
                </c:pt>
                <c:pt idx="4">
                  <c:v>85.5</c:v>
                </c:pt>
                <c:pt idx="5">
                  <c:v>464</c:v>
                </c:pt>
                <c:pt idx="6">
                  <c:v>1368</c:v>
                </c:pt>
                <c:pt idx="7">
                  <c:v>112</c:v>
                </c:pt>
                <c:pt idx="8">
                  <c:v>844.5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76-4D21-9A0A-4B355651D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62808128"/>
        <c:axId val="1062812928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Sheet1!$B$24</c15:sqref>
                        </c15:formulaRef>
                      </c:ext>
                    </c:extLst>
                    <c:strCache>
                      <c:ptCount val="1"/>
                      <c:pt idx="0">
                        <c:v>Merge per day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Sheet1!$A$25:$A$34</c15:sqref>
                        </c15:fullRef>
                        <c15:formulaRef>
                          <c15:sqref>(Sheet1!$A$25:$A$32,Sheet1!$A$34)</c15:sqref>
                        </c15:formulaRef>
                      </c:ext>
                    </c:extLst>
                    <c:strCache>
                      <c:ptCount val="9"/>
                      <c:pt idx="0">
                        <c:v>12/02/2026</c:v>
                      </c:pt>
                      <c:pt idx="1">
                        <c:v>16/02/2026</c:v>
                      </c:pt>
                      <c:pt idx="2">
                        <c:v>22/02/2026</c:v>
                      </c:pt>
                      <c:pt idx="3">
                        <c:v>08/03/2026</c:v>
                      </c:pt>
                      <c:pt idx="4">
                        <c:v>03/03/2026</c:v>
                      </c:pt>
                      <c:pt idx="5">
                        <c:v>13/03/2026</c:v>
                      </c:pt>
                      <c:pt idx="6">
                        <c:v>24/03/2026</c:v>
                      </c:pt>
                      <c:pt idx="7">
                        <c:v>05/04/2026</c:v>
                      </c:pt>
                      <c:pt idx="8">
                        <c:v>Not merged yet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Sheet1!$B$25:$B$34</c15:sqref>
                        </c15:fullRef>
                        <c15:formulaRef>
                          <c15:sqref>(Sheet1!$B$25:$B$32,Sheet1!$B$34)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776-4D21-9A0A-4B355651D2D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Sheet1!$C$24</c15:sqref>
                        </c15:formulaRef>
                      </c:ext>
                    </c:extLst>
                    <c:strCache>
                      <c:ptCount val="1"/>
                      <c:pt idx="0">
                        <c:v>PR size per day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Sheet1!$A$25:$A$34</c15:sqref>
                        </c15:fullRef>
                        <c15:formulaRef>
                          <c15:sqref>(Sheet1!$A$25:$A$32,Sheet1!$A$34)</c15:sqref>
                        </c15:formulaRef>
                      </c:ext>
                    </c:extLst>
                    <c:strCache>
                      <c:ptCount val="9"/>
                      <c:pt idx="0">
                        <c:v>12/02/2026</c:v>
                      </c:pt>
                      <c:pt idx="1">
                        <c:v>16/02/2026</c:v>
                      </c:pt>
                      <c:pt idx="2">
                        <c:v>22/02/2026</c:v>
                      </c:pt>
                      <c:pt idx="3">
                        <c:v>08/03/2026</c:v>
                      </c:pt>
                      <c:pt idx="4">
                        <c:v>03/03/2026</c:v>
                      </c:pt>
                      <c:pt idx="5">
                        <c:v>13/03/2026</c:v>
                      </c:pt>
                      <c:pt idx="6">
                        <c:v>24/03/2026</c:v>
                      </c:pt>
                      <c:pt idx="7">
                        <c:v>05/04/2026</c:v>
                      </c:pt>
                      <c:pt idx="8">
                        <c:v>Not merged yet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Sheet1!$C$25:$C$34</c15:sqref>
                        </c15:fullRef>
                        <c15:formulaRef>
                          <c15:sqref>(Sheet1!$C$25:$C$32,Sheet1!$C$34)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115</c:v>
                      </c:pt>
                      <c:pt idx="1">
                        <c:v>31</c:v>
                      </c:pt>
                      <c:pt idx="2">
                        <c:v>1047</c:v>
                      </c:pt>
                      <c:pt idx="3">
                        <c:v>128</c:v>
                      </c:pt>
                      <c:pt idx="4">
                        <c:v>171</c:v>
                      </c:pt>
                      <c:pt idx="5">
                        <c:v>464</c:v>
                      </c:pt>
                      <c:pt idx="6">
                        <c:v>1368</c:v>
                      </c:pt>
                      <c:pt idx="7">
                        <c:v>112</c:v>
                      </c:pt>
                      <c:pt idx="8">
                        <c:v>6756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776-4D21-9A0A-4B355651D2DE}"/>
                  </c:ext>
                </c:extLst>
              </c15:ser>
            </c15:filteredBarSeries>
          </c:ext>
        </c:extLst>
      </c:bar3DChart>
      <c:catAx>
        <c:axId val="106280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62812928"/>
        <c:crosses val="autoZero"/>
        <c:auto val="1"/>
        <c:lblAlgn val="ctr"/>
        <c:lblOffset val="100"/>
        <c:noMultiLvlLbl val="0"/>
      </c:catAx>
      <c:valAx>
        <c:axId val="10628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6280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 size by contributor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Sheet1!$A$43</c:f>
              <c:strCache>
                <c:ptCount val="1"/>
                <c:pt idx="0">
                  <c:v>Small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Sheet1!$B$42:$F$42</c15:sqref>
                  </c15:fullRef>
                </c:ext>
              </c:extLst>
              <c:f>Sheet1!$C$42:$F$42</c:f>
              <c:strCache>
                <c:ptCount val="4"/>
                <c:pt idx="0">
                  <c:v>ervinhun</c:v>
                </c:pt>
                <c:pt idx="1">
                  <c:v>OleksandrDarchyk</c:v>
                </c:pt>
                <c:pt idx="2">
                  <c:v>AliEmredk</c:v>
                </c:pt>
                <c:pt idx="3">
                  <c:v>alexapostol89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Sheet1!$B$43:$F$43</c15:sqref>
                  </c15:fullRef>
                </c:ext>
              </c:extLst>
              <c:f>Sheet1!$C$43:$F$43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9-4081-AB32-2A3790933703}"/>
            </c:ext>
          </c:extLst>
        </c:ser>
        <c:ser>
          <c:idx val="1"/>
          <c:order val="1"/>
          <c:tx>
            <c:strRef>
              <c:f>Sheet1!$A$44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Sheet1!$B$42:$F$42</c15:sqref>
                  </c15:fullRef>
                </c:ext>
              </c:extLst>
              <c:f>Sheet1!$C$42:$F$42</c:f>
              <c:strCache>
                <c:ptCount val="4"/>
                <c:pt idx="0">
                  <c:v>ervinhun</c:v>
                </c:pt>
                <c:pt idx="1">
                  <c:v>OleksandrDarchyk</c:v>
                </c:pt>
                <c:pt idx="2">
                  <c:v>AliEmredk</c:v>
                </c:pt>
                <c:pt idx="3">
                  <c:v>alexapostol89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Sheet1!$B$44:$F$44</c15:sqref>
                  </c15:fullRef>
                </c:ext>
              </c:extLst>
              <c:f>Sheet1!$C$44:$F$44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9-4081-AB32-2A3790933703}"/>
            </c:ext>
          </c:extLst>
        </c:ser>
        <c:ser>
          <c:idx val="2"/>
          <c:order val="2"/>
          <c:tx>
            <c:strRef>
              <c:f>Sheet1!$A$45</c:f>
              <c:strCache>
                <c:ptCount val="1"/>
                <c:pt idx="0">
                  <c:v>Large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Sheet1!$B$42:$F$42</c15:sqref>
                  </c15:fullRef>
                </c:ext>
              </c:extLst>
              <c:f>Sheet1!$C$42:$F$42</c:f>
              <c:strCache>
                <c:ptCount val="4"/>
                <c:pt idx="0">
                  <c:v>ervinhun</c:v>
                </c:pt>
                <c:pt idx="1">
                  <c:v>OleksandrDarchyk</c:v>
                </c:pt>
                <c:pt idx="2">
                  <c:v>AliEmredk</c:v>
                </c:pt>
                <c:pt idx="3">
                  <c:v>alexapostol89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Sheet1!$B$45:$F$45</c15:sqref>
                  </c15:fullRef>
                </c:ext>
              </c:extLst>
              <c:f>Sheet1!$C$45:$F$45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9-4081-AB32-2A3790933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1048368"/>
        <c:axId val="941050288"/>
        <c:axId val="0"/>
      </c:bar3DChart>
      <c:catAx>
        <c:axId val="9410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41050288"/>
        <c:crosses val="autoZero"/>
        <c:auto val="1"/>
        <c:lblAlgn val="ctr"/>
        <c:lblOffset val="100"/>
        <c:noMultiLvlLbl val="0"/>
      </c:catAx>
      <c:valAx>
        <c:axId val="94105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9410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Sheet1!$B$42</c:f>
              <c:strCache>
                <c:ptCount val="1"/>
                <c:pt idx="0">
                  <c:v>size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Sheet1!$A$43:$A$45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Sheet1!$B$43:$B$45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B-4201-B083-728DBAE5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7206608"/>
        <c:axId val="827208048"/>
        <c:axId val="0"/>
      </c:bar3DChart>
      <c:catAx>
        <c:axId val="82720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27208048"/>
        <c:crosses val="autoZero"/>
        <c:auto val="1"/>
        <c:lblAlgn val="ctr"/>
        <c:lblOffset val="100"/>
        <c:noMultiLvlLbl val="0"/>
      </c:catAx>
      <c:valAx>
        <c:axId val="8272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2720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16</xdr:row>
      <xdr:rowOff>3810</xdr:rowOff>
    </xdr:from>
    <xdr:to>
      <xdr:col>12</xdr:col>
      <xdr:colOff>518160</xdr:colOff>
      <xdr:row>31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D2281-8A1D-4BE9-7E88-08B36C7F1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335280</xdr:colOff>
      <xdr:row>31</xdr:row>
      <xdr:rowOff>41910</xdr:rowOff>
    </xdr:from>
    <xdr:to>
      <xdr:col>12</xdr:col>
      <xdr:colOff>510540</xdr:colOff>
      <xdr:row>46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181402-0BB2-63AC-3542-573E7B51E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701040</xdr:colOff>
      <xdr:row>31</xdr:row>
      <xdr:rowOff>41910</xdr:rowOff>
    </xdr:from>
    <xdr:to>
      <xdr:col>19</xdr:col>
      <xdr:colOff>449580</xdr:colOff>
      <xdr:row>46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3406C8-63E2-3AF5-E7C9-63960C491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685800</xdr:colOff>
      <xdr:row>15</xdr:row>
      <xdr:rowOff>163830</xdr:rowOff>
    </xdr:from>
    <xdr:to>
      <xdr:col>19</xdr:col>
      <xdr:colOff>434340</xdr:colOff>
      <xdr:row>30</xdr:row>
      <xdr:rowOff>163830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A27097D-7D0B-32E1-C283-EB1554C16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327660</xdr:colOff>
      <xdr:row>46</xdr:row>
      <xdr:rowOff>148590</xdr:rowOff>
    </xdr:from>
    <xdr:to>
      <xdr:col>12</xdr:col>
      <xdr:colOff>502920</xdr:colOff>
      <xdr:row>61</xdr:row>
      <xdr:rowOff>148590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8D4D8F-55DA-87E1-374C-9678C14E9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716280</xdr:colOff>
      <xdr:row>46</xdr:row>
      <xdr:rowOff>133350</xdr:rowOff>
    </xdr:from>
    <xdr:to>
      <xdr:col>19</xdr:col>
      <xdr:colOff>464820</xdr:colOff>
      <xdr:row>61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F2FB21D-D09F-70BB-8545-821E7AC3B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C90C-3289-4BA8-ADEE-0A8029871424}">
  <dimension ref="A1:N45"/>
  <sheetViews>
    <sheetView tabSelected="1" topLeftCell="A37" workbookViewId="0">
      <selection activeCell="G56" sqref="G56"/>
    </sheetView>
  </sheetViews>
  <sheetFormatPr defaultRowHeight="14.4" x14ac:dyDescent="0.3"/>
  <cols>
    <col min="1" max="1" width="10.33203125" bestFit="1" customWidth="1"/>
    <col min="6" max="6" width="10.33203125" bestFit="1" customWidth="1"/>
    <col min="10" max="10" width="15.88671875" bestFit="1" customWidth="1"/>
    <col min="11" max="11" width="16" bestFit="1" customWidth="1"/>
    <col min="12" max="12" width="14.44140625" bestFit="1" customWidth="1"/>
    <col min="13" max="13" width="16.44140625" bestFit="1" customWidth="1"/>
    <col min="14" max="14" width="9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14" x14ac:dyDescent="0.3">
      <c r="A2">
        <v>2</v>
      </c>
      <c r="B2" t="s">
        <v>5</v>
      </c>
      <c r="C2">
        <v>95</v>
      </c>
      <c r="D2">
        <v>20</v>
      </c>
      <c r="E2">
        <f>SUM(C2:D2)</f>
        <v>115</v>
      </c>
      <c r="F2" s="1">
        <v>46065</v>
      </c>
    </row>
    <row r="3" spans="1:14" x14ac:dyDescent="0.3">
      <c r="A3">
        <v>3</v>
      </c>
      <c r="B3" s="2" t="s">
        <v>6</v>
      </c>
      <c r="C3">
        <v>31</v>
      </c>
      <c r="D3">
        <v>0</v>
      </c>
      <c r="E3">
        <f t="shared" ref="E3:E20" si="0">SUM(C3:D3)</f>
        <v>31</v>
      </c>
      <c r="F3" s="1">
        <v>46069</v>
      </c>
    </row>
    <row r="4" spans="1:14" x14ac:dyDescent="0.3">
      <c r="A4">
        <v>4</v>
      </c>
      <c r="B4" t="s">
        <v>5</v>
      </c>
      <c r="C4">
        <v>873</v>
      </c>
      <c r="D4">
        <v>81</v>
      </c>
      <c r="E4">
        <f t="shared" si="0"/>
        <v>954</v>
      </c>
      <c r="F4" s="1">
        <v>46075</v>
      </c>
    </row>
    <row r="5" spans="1:14" x14ac:dyDescent="0.3">
      <c r="A5">
        <v>6</v>
      </c>
      <c r="B5" t="s">
        <v>7</v>
      </c>
      <c r="C5">
        <v>92</v>
      </c>
      <c r="D5">
        <v>1</v>
      </c>
      <c r="E5">
        <f t="shared" si="0"/>
        <v>93</v>
      </c>
      <c r="F5" s="1">
        <v>46075</v>
      </c>
    </row>
    <row r="6" spans="1:14" x14ac:dyDescent="0.3">
      <c r="A6">
        <v>7</v>
      </c>
      <c r="B6" s="2" t="s">
        <v>6</v>
      </c>
      <c r="C6">
        <v>50</v>
      </c>
      <c r="D6">
        <v>0</v>
      </c>
      <c r="E6">
        <f t="shared" si="0"/>
        <v>50</v>
      </c>
      <c r="F6" s="1">
        <v>46089</v>
      </c>
    </row>
    <row r="7" spans="1:14" x14ac:dyDescent="0.3">
      <c r="A7">
        <v>8</v>
      </c>
      <c r="B7" s="2" t="s">
        <v>6</v>
      </c>
      <c r="C7">
        <v>19</v>
      </c>
      <c r="D7">
        <v>0</v>
      </c>
      <c r="E7">
        <f t="shared" si="0"/>
        <v>19</v>
      </c>
      <c r="F7" s="1">
        <v>46084</v>
      </c>
    </row>
    <row r="8" spans="1:14" x14ac:dyDescent="0.3">
      <c r="A8">
        <v>9</v>
      </c>
      <c r="B8" s="2" t="s">
        <v>8</v>
      </c>
      <c r="C8">
        <v>78</v>
      </c>
      <c r="D8">
        <v>0</v>
      </c>
      <c r="E8">
        <f t="shared" si="0"/>
        <v>78</v>
      </c>
      <c r="F8" s="1">
        <v>46089</v>
      </c>
    </row>
    <row r="9" spans="1:14" x14ac:dyDescent="0.3">
      <c r="A9">
        <v>10</v>
      </c>
      <c r="B9" s="2" t="s">
        <v>8</v>
      </c>
      <c r="C9">
        <v>151</v>
      </c>
      <c r="D9">
        <v>1</v>
      </c>
      <c r="E9">
        <f t="shared" si="0"/>
        <v>152</v>
      </c>
      <c r="F9" s="1">
        <v>46084</v>
      </c>
    </row>
    <row r="10" spans="1:14" x14ac:dyDescent="0.3">
      <c r="A10">
        <v>11</v>
      </c>
      <c r="B10" s="2" t="s">
        <v>5</v>
      </c>
      <c r="C10">
        <v>349</v>
      </c>
      <c r="D10">
        <v>115</v>
      </c>
      <c r="E10">
        <f t="shared" si="0"/>
        <v>464</v>
      </c>
      <c r="F10" s="1">
        <v>46094</v>
      </c>
    </row>
    <row r="11" spans="1:14" x14ac:dyDescent="0.3">
      <c r="A11">
        <v>20</v>
      </c>
      <c r="B11" s="2" t="s">
        <v>5</v>
      </c>
      <c r="C11">
        <v>1221</v>
      </c>
      <c r="D11">
        <v>147</v>
      </c>
      <c r="E11">
        <f t="shared" si="0"/>
        <v>1368</v>
      </c>
      <c r="F11" s="1">
        <v>46105</v>
      </c>
      <c r="J11" t="s">
        <v>19</v>
      </c>
      <c r="K11" t="s">
        <v>9</v>
      </c>
      <c r="L11" t="s">
        <v>10</v>
      </c>
      <c r="M11" t="s">
        <v>11</v>
      </c>
      <c r="N11" t="s">
        <v>12</v>
      </c>
    </row>
    <row r="12" spans="1:14" x14ac:dyDescent="0.3">
      <c r="A12">
        <v>21</v>
      </c>
      <c r="B12" s="2" t="s">
        <v>6</v>
      </c>
      <c r="C12">
        <v>111</v>
      </c>
      <c r="D12">
        <v>1</v>
      </c>
      <c r="E12">
        <f t="shared" si="0"/>
        <v>112</v>
      </c>
      <c r="F12" s="1">
        <v>46117</v>
      </c>
      <c r="J12" t="s">
        <v>5</v>
      </c>
      <c r="K12">
        <f>COUNTIF($B$2:$B$20,"ervinhun")</f>
        <v>9</v>
      </c>
      <c r="L12">
        <f>SUMIF($B$2:$B$20,"ervinhun",$C$2:$C$20)</f>
        <v>8149</v>
      </c>
      <c r="M12">
        <f>SUMIF($B$2:$B$20,"ervinhun",$D$2:$D$20)</f>
        <v>445</v>
      </c>
      <c r="N12">
        <f>SUMIF($B$2:$B$20,"ervinhun",$E$2:$E$20)</f>
        <v>8594</v>
      </c>
    </row>
    <row r="13" spans="1:14" x14ac:dyDescent="0.3">
      <c r="A13">
        <v>26</v>
      </c>
      <c r="B13" s="2" t="s">
        <v>7</v>
      </c>
      <c r="C13">
        <v>520</v>
      </c>
      <c r="D13">
        <v>128</v>
      </c>
      <c r="E13">
        <f t="shared" si="0"/>
        <v>648</v>
      </c>
      <c r="J13" s="2" t="s">
        <v>6</v>
      </c>
      <c r="K13">
        <f>COUNTIF($B$2:$B$20,"OleksandrDarchyk")</f>
        <v>6</v>
      </c>
      <c r="L13">
        <f>SUMIF($B$2:$B$20,"OleksandrDarchyk",$C$2:$C$20)</f>
        <v>620</v>
      </c>
      <c r="M13">
        <f>SUMIF($B$2:$B$20,"OleksandrDarchyk",$D$2:$D$20)</f>
        <v>7</v>
      </c>
      <c r="N13">
        <f>SUMIF($B$2:$B$20,"OleksandrDarchyk",$E$2:$E$20)</f>
        <v>627</v>
      </c>
    </row>
    <row r="14" spans="1:14" x14ac:dyDescent="0.3">
      <c r="A14">
        <v>27</v>
      </c>
      <c r="B14" s="2" t="s">
        <v>5</v>
      </c>
      <c r="C14">
        <v>4436</v>
      </c>
      <c r="D14">
        <v>56</v>
      </c>
      <c r="E14">
        <f t="shared" si="0"/>
        <v>4492</v>
      </c>
      <c r="J14" s="2" t="s">
        <v>7</v>
      </c>
      <c r="K14">
        <f>COUNTIF($B$2:$B$20,"AliEmredk")</f>
        <v>2</v>
      </c>
      <c r="L14">
        <f>SUMIF($B$2:$B$20,"AliEmredk",$C$2:$C$20)</f>
        <v>612</v>
      </c>
      <c r="M14">
        <f>SUMIF($B$2:$B$20,"AliEmredk",$D$2:$D$20)</f>
        <v>129</v>
      </c>
      <c r="N14">
        <f>SUMIF($B$2:$B$20,"AliEmredk",$E$2:$E$20)</f>
        <v>741</v>
      </c>
    </row>
    <row r="15" spans="1:14" x14ac:dyDescent="0.3">
      <c r="A15">
        <v>28</v>
      </c>
      <c r="B15" s="2" t="s">
        <v>6</v>
      </c>
      <c r="C15">
        <v>274</v>
      </c>
      <c r="D15">
        <v>3</v>
      </c>
      <c r="E15">
        <f t="shared" si="0"/>
        <v>277</v>
      </c>
      <c r="J15" s="2" t="s">
        <v>8</v>
      </c>
      <c r="K15">
        <f>COUNTIF($B$2:$B$20,"alexapostol89")</f>
        <v>2</v>
      </c>
      <c r="L15">
        <f>SUMIF($B$2:$B$20,"alexapostol89",$C$2:$C$20)</f>
        <v>229</v>
      </c>
      <c r="M15">
        <f>SUMIF($B$2:$B$20,"alexapostol89",$D$2:$D$20)</f>
        <v>1</v>
      </c>
      <c r="N15">
        <f>SUMIF($B$2:$B$20,"alexapostol89",$E$2:$E$20)</f>
        <v>230</v>
      </c>
    </row>
    <row r="16" spans="1:14" x14ac:dyDescent="0.3">
      <c r="A16">
        <v>29</v>
      </c>
      <c r="B16" s="2" t="s">
        <v>6</v>
      </c>
      <c r="C16">
        <v>135</v>
      </c>
      <c r="D16">
        <v>3</v>
      </c>
      <c r="E16">
        <f t="shared" si="0"/>
        <v>138</v>
      </c>
    </row>
    <row r="17" spans="1:5" x14ac:dyDescent="0.3">
      <c r="A17">
        <v>30</v>
      </c>
      <c r="B17" s="2" t="s">
        <v>5</v>
      </c>
      <c r="C17">
        <v>619</v>
      </c>
      <c r="D17">
        <v>25</v>
      </c>
      <c r="E17">
        <f t="shared" si="0"/>
        <v>644</v>
      </c>
    </row>
    <row r="18" spans="1:5" x14ac:dyDescent="0.3">
      <c r="A18">
        <v>31</v>
      </c>
      <c r="B18" s="2" t="s">
        <v>5</v>
      </c>
      <c r="C18">
        <v>1</v>
      </c>
      <c r="D18">
        <v>1</v>
      </c>
      <c r="E18">
        <f t="shared" si="0"/>
        <v>2</v>
      </c>
    </row>
    <row r="19" spans="1:5" x14ac:dyDescent="0.3">
      <c r="A19">
        <v>34</v>
      </c>
      <c r="B19" s="2" t="s">
        <v>5</v>
      </c>
      <c r="C19">
        <v>144</v>
      </c>
      <c r="D19">
        <v>0</v>
      </c>
      <c r="E19">
        <f t="shared" si="0"/>
        <v>144</v>
      </c>
    </row>
    <row r="20" spans="1:5" x14ac:dyDescent="0.3">
      <c r="A20">
        <v>35</v>
      </c>
      <c r="B20" s="2" t="s">
        <v>5</v>
      </c>
      <c r="C20">
        <v>411</v>
      </c>
      <c r="D20">
        <v>0</v>
      </c>
      <c r="E20">
        <f t="shared" si="0"/>
        <v>411</v>
      </c>
    </row>
    <row r="24" spans="1:5" x14ac:dyDescent="0.3">
      <c r="A24" t="s">
        <v>14</v>
      </c>
      <c r="B24" t="s">
        <v>15</v>
      </c>
      <c r="C24" t="s">
        <v>13</v>
      </c>
      <c r="D24" t="s">
        <v>20</v>
      </c>
    </row>
    <row r="25" spans="1:5" x14ac:dyDescent="0.3">
      <c r="A25" s="3" cm="1">
        <f t="array" ref="A25:A33">_xlfn.UNIQUE($F$2:$F$20)</f>
        <v>46065</v>
      </c>
      <c r="B25">
        <f>COUNTIF($F$2:$F$20,A25)</f>
        <v>1</v>
      </c>
      <c r="C25">
        <f>SUMIF($F$2:$F$20,A25, $E$2:$E$20)</f>
        <v>115</v>
      </c>
      <c r="D25">
        <f>C25/B25</f>
        <v>115</v>
      </c>
    </row>
    <row r="26" spans="1:5" x14ac:dyDescent="0.3">
      <c r="A26" s="3">
        <v>46069</v>
      </c>
      <c r="B26">
        <f t="shared" ref="B26:B34" si="1">COUNTIF($F$2:$F$20,A26)</f>
        <v>1</v>
      </c>
      <c r="C26">
        <f t="shared" ref="C26:C34" si="2">SUMIF($F$2:$F$20,A26, $E$2:$E$20)</f>
        <v>31</v>
      </c>
      <c r="D26">
        <f t="shared" ref="D26:D34" si="3">C26/B26</f>
        <v>31</v>
      </c>
    </row>
    <row r="27" spans="1:5" x14ac:dyDescent="0.3">
      <c r="A27" s="3">
        <v>46075</v>
      </c>
      <c r="B27">
        <f t="shared" si="1"/>
        <v>2</v>
      </c>
      <c r="C27">
        <f t="shared" si="2"/>
        <v>1047</v>
      </c>
      <c r="D27">
        <f t="shared" si="3"/>
        <v>523.5</v>
      </c>
    </row>
    <row r="28" spans="1:5" x14ac:dyDescent="0.3">
      <c r="A28" s="3">
        <v>46089</v>
      </c>
      <c r="B28">
        <f t="shared" si="1"/>
        <v>2</v>
      </c>
      <c r="C28">
        <f t="shared" si="2"/>
        <v>128</v>
      </c>
      <c r="D28">
        <f t="shared" si="3"/>
        <v>64</v>
      </c>
    </row>
    <row r="29" spans="1:5" x14ac:dyDescent="0.3">
      <c r="A29" s="3">
        <v>46084</v>
      </c>
      <c r="B29">
        <f t="shared" si="1"/>
        <v>2</v>
      </c>
      <c r="C29">
        <f t="shared" si="2"/>
        <v>171</v>
      </c>
      <c r="D29">
        <f t="shared" si="3"/>
        <v>85.5</v>
      </c>
    </row>
    <row r="30" spans="1:5" x14ac:dyDescent="0.3">
      <c r="A30" s="3">
        <v>46094</v>
      </c>
      <c r="B30">
        <f t="shared" si="1"/>
        <v>1</v>
      </c>
      <c r="C30">
        <f t="shared" si="2"/>
        <v>464</v>
      </c>
      <c r="D30">
        <f t="shared" si="3"/>
        <v>464</v>
      </c>
    </row>
    <row r="31" spans="1:5" x14ac:dyDescent="0.3">
      <c r="A31" s="3">
        <v>46105</v>
      </c>
      <c r="B31">
        <f t="shared" si="1"/>
        <v>1</v>
      </c>
      <c r="C31">
        <f t="shared" si="2"/>
        <v>1368</v>
      </c>
      <c r="D31">
        <f t="shared" si="3"/>
        <v>1368</v>
      </c>
    </row>
    <row r="32" spans="1:5" x14ac:dyDescent="0.3">
      <c r="A32" s="3">
        <v>46117</v>
      </c>
      <c r="B32">
        <f t="shared" si="1"/>
        <v>1</v>
      </c>
      <c r="C32">
        <f t="shared" si="2"/>
        <v>112</v>
      </c>
      <c r="D32">
        <f t="shared" si="3"/>
        <v>112</v>
      </c>
    </row>
    <row r="33" spans="1:6" x14ac:dyDescent="0.3">
      <c r="A33" s="3">
        <v>0</v>
      </c>
    </row>
    <row r="34" spans="1:6" x14ac:dyDescent="0.3">
      <c r="A34" t="s">
        <v>16</v>
      </c>
      <c r="B34">
        <f>COUNTIF($F$2:$F$20,"")</f>
        <v>8</v>
      </c>
      <c r="C34">
        <f>SUMIF($F$2:$F$20,"",$E$2:$E$20)</f>
        <v>6756</v>
      </c>
      <c r="D34">
        <f t="shared" si="3"/>
        <v>844.5</v>
      </c>
    </row>
    <row r="38" spans="1:6" x14ac:dyDescent="0.3">
      <c r="A38" t="s">
        <v>17</v>
      </c>
      <c r="B38" t="s">
        <v>18</v>
      </c>
    </row>
    <row r="39" spans="1:6" x14ac:dyDescent="0.3">
      <c r="A39">
        <f>SUM(C25:C32)</f>
        <v>3436</v>
      </c>
      <c r="B39">
        <f>SUM(E13:E20)</f>
        <v>6756</v>
      </c>
    </row>
    <row r="42" spans="1:6" x14ac:dyDescent="0.3">
      <c r="A42" t="s">
        <v>21</v>
      </c>
      <c r="B42" t="s">
        <v>22</v>
      </c>
      <c r="C42" t="s">
        <v>5</v>
      </c>
      <c r="D42" s="2" t="s">
        <v>6</v>
      </c>
      <c r="E42" s="2" t="s">
        <v>7</v>
      </c>
      <c r="F42" s="2" t="s">
        <v>8</v>
      </c>
    </row>
    <row r="43" spans="1:6" x14ac:dyDescent="0.3">
      <c r="A43" t="s">
        <v>23</v>
      </c>
      <c r="B43">
        <f>COUNTIF($E$2:$E$20, "&lt;100")</f>
        <v>6</v>
      </c>
      <c r="C43">
        <f>COUNTIFS($E$2:$E$20, "&lt;100", $B$2:$B$20, $C$42)</f>
        <v>1</v>
      </c>
      <c r="D43">
        <f t="shared" ref="D43:F43" si="4">COUNTIFS($E$2:$E$20, "&lt;100", $B$2:$B$20, D42)</f>
        <v>3</v>
      </c>
      <c r="E43">
        <f t="shared" si="4"/>
        <v>1</v>
      </c>
      <c r="F43">
        <f t="shared" si="4"/>
        <v>1</v>
      </c>
    </row>
    <row r="44" spans="1:6" x14ac:dyDescent="0.3">
      <c r="A44" t="s">
        <v>24</v>
      </c>
      <c r="B44">
        <f>COUNTIFS($E$2:$E$20,"&gt;=100",$E$2:$E$20,"&lt;=500")</f>
        <v>8</v>
      </c>
      <c r="C44">
        <f>COUNTIFS($E$2:$E$20, "&gt;=100", $E$2:$E$20, "&lt;500", $B$2:$B$20, C$42)</f>
        <v>4</v>
      </c>
      <c r="D44">
        <f t="shared" ref="D44:F44" si="5">COUNTIFS($E$2:$E$20, "&gt;=100", $E$2:$E$20, "&lt;500", $B$2:$B$20, D$42)</f>
        <v>3</v>
      </c>
      <c r="E44">
        <f t="shared" si="5"/>
        <v>0</v>
      </c>
      <c r="F44">
        <f t="shared" si="5"/>
        <v>1</v>
      </c>
    </row>
    <row r="45" spans="1:6" x14ac:dyDescent="0.3">
      <c r="A45" t="s">
        <v>25</v>
      </c>
      <c r="B45">
        <f>COUNTIF($E$2:$E$20, "&gt;500")</f>
        <v>5</v>
      </c>
      <c r="C45">
        <f>COUNTIFS($E$2:$E$20, "&gt;=500", $B$2:$B$20, C$42)</f>
        <v>4</v>
      </c>
      <c r="D45">
        <f t="shared" ref="D45:F45" si="6">COUNTIFS($E$2:$E$20, "&gt;=500", $B$2:$B$20, D$42)</f>
        <v>0</v>
      </c>
      <c r="E45">
        <f t="shared" si="6"/>
        <v>1</v>
      </c>
      <c r="F45">
        <f t="shared" si="6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E01A70D238CF54F967BC114ECAEDEDF" ma:contentTypeVersion="6" ma:contentTypeDescription="Opret et nyt dokument." ma:contentTypeScope="" ma:versionID="88c196b366f67ce5d8a4d646cb44bb82">
  <xsd:schema xmlns:xsd="http://www.w3.org/2001/XMLSchema" xmlns:xs="http://www.w3.org/2001/XMLSchema" xmlns:p="http://schemas.microsoft.com/office/2006/metadata/properties" xmlns:ns3="f83e5279-13d5-4e5c-8aaf-6717534ad7b8" targetNamespace="http://schemas.microsoft.com/office/2006/metadata/properties" ma:root="true" ma:fieldsID="761988054fdc5e9ecbea3680758815c4" ns3:_="">
    <xsd:import namespace="f83e5279-13d5-4e5c-8aaf-6717534ad7b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e5279-13d5-4e5c-8aaf-6717534ad7b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3e5279-13d5-4e5c-8aaf-6717534ad7b8" xsi:nil="true"/>
  </documentManagement>
</p:properties>
</file>

<file path=customXml/itemProps1.xml><?xml version="1.0" encoding="utf-8"?>
<ds:datastoreItem xmlns:ds="http://schemas.openxmlformats.org/officeDocument/2006/customXml" ds:itemID="{BE7163B5-B18E-4747-BBC5-0A88C38154C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DC592C6-1B97-40F9-A77F-906154CA4B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e5279-13d5-4e5c-8aaf-6717534ad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8794B9-A8B1-4F1C-A8EC-C6E9D01FCC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3C28BD0-0432-4656-A954-8896B21CB290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f83e5279-13d5-4e5c-8aaf-6717534ad7b8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 Loránd Bacskó</dc:creator>
  <cp:lastModifiedBy>Ervin Loránd Bacskó</cp:lastModifiedBy>
  <dcterms:created xsi:type="dcterms:W3CDTF">2026-04-08T17:14:58Z</dcterms:created>
  <dcterms:modified xsi:type="dcterms:W3CDTF">2026-04-08T18:56:00Z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0x010100BE01A70D238CF54F967BC114ECAEDEDF</vt:lpwstr>
  </property>
</Properties>
</file>